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iese\Desktop\"/>
    </mc:Choice>
  </mc:AlternateContent>
  <xr:revisionPtr revIDLastSave="0" documentId="13_ncr:1_{1235AAC1-5F19-4B49-BB37-1156AFE551A0}" xr6:coauthVersionLast="47" xr6:coauthVersionMax="47" xr10:uidLastSave="{00000000-0000-0000-0000-000000000000}"/>
  <bookViews>
    <workbookView xWindow="-120" yWindow="-120" windowWidth="29040" windowHeight="15840" tabRatio="916" firstSheet="1" activeTab="1" xr2:uid="{00000000-000D-0000-FFFF-FFFF00000000}"/>
  </bookViews>
  <sheets>
    <sheet name="表1 行政教辅工勤岗绩效考核工资表（常驻人员）" sheetId="8" state="hidden" r:id="rId1"/>
    <sheet name="考勤表" sheetId="12" r:id="rId2"/>
  </sheets>
  <definedNames>
    <definedName name="_xlnm.Print_Titles" localSheetId="1">考勤表!$3:$4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8" l="1"/>
  <c r="J10" i="8"/>
  <c r="F10" i="8"/>
  <c r="E10" i="8"/>
  <c r="J9" i="8"/>
  <c r="F9" i="8"/>
  <c r="E9" i="8"/>
  <c r="J8" i="8"/>
  <c r="F8" i="8"/>
  <c r="E8" i="8"/>
  <c r="J7" i="8"/>
  <c r="F7" i="8"/>
  <c r="E7" i="8"/>
  <c r="J6" i="8"/>
  <c r="F6" i="8"/>
  <c r="E6" i="8"/>
</calcChain>
</file>

<file path=xl/sharedStrings.xml><?xml version="1.0" encoding="utf-8"?>
<sst xmlns="http://schemas.openxmlformats.org/spreadsheetml/2006/main" count="147" uniqueCount="69">
  <si>
    <t>表1</t>
  </si>
  <si>
    <t>2019年10月至2020年2月管理、教辅、工勤岗位清远校区工作绩效考核工资核算表</t>
  </si>
  <si>
    <t>部门（盖章）：</t>
  </si>
  <si>
    <t>序号</t>
  </si>
  <si>
    <t>姓名</t>
  </si>
  <si>
    <t>岗位等级</t>
  </si>
  <si>
    <t>是否在清远校区工作</t>
  </si>
  <si>
    <t>清远校区工作增加月绩效考核工资系数</t>
  </si>
  <si>
    <t>月绩效考核工资分值（分）</t>
  </si>
  <si>
    <t>金额标准（元/分值）</t>
  </si>
  <si>
    <t>每月增加月绩效考核工资（元）</t>
  </si>
  <si>
    <t>清远校区工作月数</t>
  </si>
  <si>
    <t>月绩效考核工资总金额（元）</t>
  </si>
  <si>
    <t>用工性质</t>
  </si>
  <si>
    <t>10=（5*6*7+8）*9</t>
  </si>
  <si>
    <t>中层正职</t>
  </si>
  <si>
    <t>是</t>
  </si>
  <si>
    <t>事业编制</t>
  </si>
  <si>
    <t>中层副职</t>
  </si>
  <si>
    <t>八级职员</t>
  </si>
  <si>
    <t>十级</t>
  </si>
  <si>
    <t>十二级</t>
  </si>
  <si>
    <t>合同制A</t>
  </si>
  <si>
    <t>合计</t>
  </si>
  <si>
    <t>备注：</t>
  </si>
  <si>
    <t>1、该表格适用于校内管理、教辅、工勤岗月绩效考核分值计算。栏目中已标注颜色的栏目已设定公式，会自动生成数据，不需要录入数据。仅需在白色的栏目录入相关信息和数据即可。</t>
  </si>
  <si>
    <t>2、“岗位等级”请按《广东工程职业技术学院事业编制人员绩效工资分配方案》第8页表3的“岗位类别”名称填写</t>
  </si>
  <si>
    <t>3、根据《广东工程职业技术学院清远校区运行管理方案（试行）》（粤工程职院党委发[2019]51号）发放绩效工资。</t>
  </si>
  <si>
    <t>制表：</t>
  </si>
  <si>
    <t>二级学院复核：</t>
  </si>
  <si>
    <t>二级学院审批：</t>
  </si>
  <si>
    <t>出勤天数</t>
  </si>
  <si>
    <t>出勤地点</t>
  </si>
  <si>
    <t>日期</t>
  </si>
  <si>
    <t>备注</t>
  </si>
  <si>
    <t>星期</t>
  </si>
  <si>
    <t>三</t>
  </si>
  <si>
    <t>四</t>
  </si>
  <si>
    <t>五</t>
  </si>
  <si>
    <t>六</t>
  </si>
  <si>
    <t>日</t>
  </si>
  <si>
    <t>一</t>
  </si>
  <si>
    <t>二</t>
  </si>
  <si>
    <t>廖彦云</t>
  </si>
  <si>
    <t>广州</t>
  </si>
  <si>
    <t>已报备常驻清远</t>
  </si>
  <si>
    <t>清远</t>
  </si>
  <si>
    <t>陈雪婧</t>
  </si>
  <si>
    <t>邓大辉</t>
  </si>
  <si>
    <t>张冰</t>
  </si>
  <si>
    <t>吴坤姗</t>
  </si>
  <si>
    <t>罗伟杰</t>
  </si>
  <si>
    <t>黄益发</t>
  </si>
  <si>
    <t>程哲</t>
  </si>
  <si>
    <t>叶双灵</t>
  </si>
  <si>
    <t>陈日华</t>
  </si>
  <si>
    <t>邝乐天</t>
  </si>
  <si>
    <t>黄倩蓉</t>
  </si>
  <si>
    <t>朱天海</t>
  </si>
  <si>
    <t>冯剑荣</t>
  </si>
  <si>
    <t>严小虎</t>
  </si>
  <si>
    <t>孙坚</t>
  </si>
  <si>
    <t>陈艳芬</t>
  </si>
  <si>
    <t>易灵</t>
  </si>
  <si>
    <t>任建国</t>
  </si>
  <si>
    <r>
      <rPr>
        <sz val="10"/>
        <color theme="1"/>
        <rFont val="宋体"/>
        <charset val="134"/>
        <scheme val="minor"/>
      </rPr>
      <t>备注：出勤：</t>
    </r>
    <r>
      <rPr>
        <sz val="10"/>
        <color theme="1"/>
        <rFont val="宋体"/>
        <charset val="134"/>
      </rPr>
      <t>√ 迟到：迟 早退：退 旷工：旷 事假:事 公假：公 病假：病 丧假：丧 婚假：婚 产假：产</t>
    </r>
    <r>
      <rPr>
        <sz val="10"/>
        <color theme="1"/>
        <rFont val="宋体"/>
        <charset val="134"/>
        <scheme val="minor"/>
      </rPr>
      <t xml:space="preserve"> 学习假：学习假</t>
    </r>
    <r>
      <rPr>
        <sz val="10"/>
        <color theme="1"/>
        <rFont val="宋体"/>
        <charset val="134"/>
      </rPr>
      <t xml:space="preserve">      制表：            审核：</t>
    </r>
  </si>
  <si>
    <t>若出现其他情况，请另外说明。</t>
  </si>
  <si>
    <t>广东工程职业技术学院考勤表</t>
    <phoneticPr fontId="11" type="noConversion"/>
  </si>
  <si>
    <t>部门：（盖章） 总务后勤部（保卫部）                                                                           填报日期：月日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</si>
</sst>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\¥* #,##0_ ;_ \¥* \-#,##0_ ;_ \¥* &quot;-&quot;_ ;_ @_ "/>
    <numFmt numFmtId="177" formatCode="0.00_ "/>
  </numFmts>
  <fonts count="17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9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</cellXfs>
  <cellStyles count="37">
    <cellStyle name="Normal 2" xfId="1" xr:uid="{00000000-0005-0000-0000-000031000000}"/>
    <cellStyle name="常规" xfId="0" builtinId="0"/>
    <cellStyle name="常规 13" xfId="2" xr:uid="{00000000-0005-0000-0000-000032000000}"/>
    <cellStyle name="常规 19" xfId="3" xr:uid="{00000000-0005-0000-0000-000033000000}"/>
    <cellStyle name="常规 2" xfId="4" xr:uid="{00000000-0005-0000-0000-000034000000}"/>
    <cellStyle name="常规 2 10" xfId="5" xr:uid="{00000000-0005-0000-0000-000035000000}"/>
    <cellStyle name="常规 2 11" xfId="6" xr:uid="{00000000-0005-0000-0000-000036000000}"/>
    <cellStyle name="常规 2 12" xfId="7" xr:uid="{00000000-0005-0000-0000-000037000000}"/>
    <cellStyle name="常规 2 13" xfId="8" xr:uid="{00000000-0005-0000-0000-000038000000}"/>
    <cellStyle name="常规 2 14" xfId="9" xr:uid="{00000000-0005-0000-0000-000039000000}"/>
    <cellStyle name="常规 2 15" xfId="10" xr:uid="{00000000-0005-0000-0000-00003A000000}"/>
    <cellStyle name="常规 2 16" xfId="11" xr:uid="{00000000-0005-0000-0000-00003B000000}"/>
    <cellStyle name="常规 2 17" xfId="12" xr:uid="{00000000-0005-0000-0000-00003C000000}"/>
    <cellStyle name="常规 2 18" xfId="13" xr:uid="{00000000-0005-0000-0000-00003D000000}"/>
    <cellStyle name="常规 2 19" xfId="14" xr:uid="{00000000-0005-0000-0000-00003E000000}"/>
    <cellStyle name="常规 2 2" xfId="15" xr:uid="{00000000-0005-0000-0000-00003F000000}"/>
    <cellStyle name="常规 2 20" xfId="16" xr:uid="{00000000-0005-0000-0000-000040000000}"/>
    <cellStyle name="常规 2 21" xfId="17" xr:uid="{00000000-0005-0000-0000-000041000000}"/>
    <cellStyle name="常规 2 22" xfId="18" xr:uid="{00000000-0005-0000-0000-000042000000}"/>
    <cellStyle name="常规 2 23" xfId="19" xr:uid="{00000000-0005-0000-0000-000043000000}"/>
    <cellStyle name="常规 2 24" xfId="20" xr:uid="{00000000-0005-0000-0000-000044000000}"/>
    <cellStyle name="常规 2 3" xfId="21" xr:uid="{00000000-0005-0000-0000-000045000000}"/>
    <cellStyle name="常规 2 4" xfId="22" xr:uid="{00000000-0005-0000-0000-000046000000}"/>
    <cellStyle name="常规 2 5" xfId="23" xr:uid="{00000000-0005-0000-0000-000047000000}"/>
    <cellStyle name="常规 2 6" xfId="24" xr:uid="{00000000-0005-0000-0000-000048000000}"/>
    <cellStyle name="常规 2 7" xfId="25" xr:uid="{00000000-0005-0000-0000-000049000000}"/>
    <cellStyle name="常规 2 8" xfId="26" xr:uid="{00000000-0005-0000-0000-00004A000000}"/>
    <cellStyle name="常规 2 9" xfId="27" xr:uid="{00000000-0005-0000-0000-00004B000000}"/>
    <cellStyle name="常规 20" xfId="28" xr:uid="{00000000-0005-0000-0000-00004C000000}"/>
    <cellStyle name="常规 21" xfId="29" xr:uid="{00000000-0005-0000-0000-00004D000000}"/>
    <cellStyle name="常规 22" xfId="30" xr:uid="{00000000-0005-0000-0000-00004E000000}"/>
    <cellStyle name="常规 23" xfId="31" xr:uid="{00000000-0005-0000-0000-00004F000000}"/>
    <cellStyle name="常规 24" xfId="32" xr:uid="{00000000-0005-0000-0000-000050000000}"/>
    <cellStyle name="常规 25" xfId="33" xr:uid="{00000000-0005-0000-0000-000051000000}"/>
    <cellStyle name="常规 3" xfId="34" xr:uid="{00000000-0005-0000-0000-000052000000}"/>
    <cellStyle name="常规 9" xfId="35" xr:uid="{00000000-0005-0000-0000-000053000000}"/>
    <cellStyle name="货币[0] 2" xfId="36" xr:uid="{00000000-0005-0000-0000-00005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"/>
  <sheetViews>
    <sheetView workbookViewId="0">
      <selection activeCell="B18" sqref="B18"/>
    </sheetView>
  </sheetViews>
  <sheetFormatPr defaultColWidth="8.875" defaultRowHeight="13.5" x14ac:dyDescent="0.15"/>
  <cols>
    <col min="1" max="1" width="5.375" style="12" customWidth="1"/>
    <col min="2" max="2" width="12.625" style="12" customWidth="1"/>
    <col min="3" max="3" width="9.5" style="12" customWidth="1"/>
    <col min="4" max="4" width="14.375" style="12" customWidth="1"/>
    <col min="5" max="5" width="15.875" style="12" customWidth="1"/>
    <col min="6" max="6" width="13.625" style="12" customWidth="1"/>
    <col min="7" max="7" width="10.625" style="12" customWidth="1"/>
    <col min="8" max="9" width="12" style="12" customWidth="1"/>
    <col min="10" max="10" width="17.25" style="12" customWidth="1"/>
    <col min="11" max="11" width="12" style="12" customWidth="1"/>
    <col min="12" max="16384" width="8.875" style="12"/>
  </cols>
  <sheetData>
    <row r="1" spans="1:12" x14ac:dyDescent="0.15">
      <c r="A1" s="12" t="s">
        <v>0</v>
      </c>
    </row>
    <row r="2" spans="1:12" ht="43.9" customHeight="1" x14ac:dyDescent="0.1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2" ht="43.9" customHeight="1" x14ac:dyDescent="0.15">
      <c r="A3" s="19" t="s">
        <v>2</v>
      </c>
      <c r="B3" s="20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s="13" customFormat="1" ht="39.75" customHeight="1" x14ac:dyDescent="0.15">
      <c r="A4" s="21" t="s">
        <v>3</v>
      </c>
      <c r="B4" s="21" t="s">
        <v>4</v>
      </c>
      <c r="C4" s="21" t="s">
        <v>5</v>
      </c>
      <c r="D4" s="21" t="s">
        <v>6</v>
      </c>
      <c r="E4" s="22" t="s">
        <v>7</v>
      </c>
      <c r="F4" s="22" t="s">
        <v>8</v>
      </c>
      <c r="G4" s="22" t="s">
        <v>9</v>
      </c>
      <c r="H4" s="7" t="s">
        <v>10</v>
      </c>
      <c r="I4" s="29" t="s">
        <v>11</v>
      </c>
      <c r="J4" s="7" t="s">
        <v>12</v>
      </c>
      <c r="K4" s="7" t="s">
        <v>13</v>
      </c>
    </row>
    <row r="5" spans="1:12" s="13" customFormat="1" ht="18.75" customHeight="1" x14ac:dyDescent="0.15">
      <c r="A5" s="21">
        <v>1</v>
      </c>
      <c r="B5" s="21">
        <v>2</v>
      </c>
      <c r="C5" s="21">
        <v>3</v>
      </c>
      <c r="D5" s="21">
        <v>4</v>
      </c>
      <c r="E5" s="21">
        <v>5</v>
      </c>
      <c r="F5" s="21">
        <v>6</v>
      </c>
      <c r="G5" s="21">
        <v>7</v>
      </c>
      <c r="H5" s="21">
        <v>8</v>
      </c>
      <c r="I5" s="21">
        <v>9</v>
      </c>
      <c r="J5" s="21" t="s">
        <v>14</v>
      </c>
      <c r="K5" s="21">
        <v>11</v>
      </c>
    </row>
    <row r="6" spans="1:12" s="14" customFormat="1" ht="27" customHeight="1" x14ac:dyDescent="0.15">
      <c r="A6" s="23">
        <v>1</v>
      </c>
      <c r="B6" s="23"/>
      <c r="C6" s="23" t="s">
        <v>15</v>
      </c>
      <c r="D6" s="23" t="s">
        <v>16</v>
      </c>
      <c r="E6" s="24" t="e">
        <f>VLOOKUP(D6,#REF!,2,FALSE)</f>
        <v>#REF!</v>
      </c>
      <c r="F6" s="24" t="e">
        <f>VLOOKUP(C6,#REF!,2,FALSE)</f>
        <v>#REF!</v>
      </c>
      <c r="G6" s="25">
        <v>10</v>
      </c>
      <c r="H6" s="26">
        <v>300</v>
      </c>
      <c r="I6" s="30">
        <v>5</v>
      </c>
      <c r="J6" s="26" t="e">
        <f>(E6*F6*G6+H6)*I6</f>
        <v>#REF!</v>
      </c>
      <c r="K6" s="8" t="s">
        <v>17</v>
      </c>
    </row>
    <row r="7" spans="1:12" ht="27" customHeight="1" x14ac:dyDescent="0.15">
      <c r="A7" s="23">
        <v>2</v>
      </c>
      <c r="B7" s="27"/>
      <c r="C7" s="27" t="s">
        <v>18</v>
      </c>
      <c r="D7" s="23" t="s">
        <v>16</v>
      </c>
      <c r="E7" s="24" t="e">
        <f>VLOOKUP(D7,#REF!,2,FALSE)</f>
        <v>#REF!</v>
      </c>
      <c r="F7" s="24" t="e">
        <f>VLOOKUP(C7,#REF!,2,FALSE)</f>
        <v>#REF!</v>
      </c>
      <c r="G7" s="25">
        <v>10</v>
      </c>
      <c r="H7" s="26">
        <v>300</v>
      </c>
      <c r="I7" s="30">
        <v>5</v>
      </c>
      <c r="J7" s="26" t="e">
        <f t="shared" ref="J7:J10" si="0">(E7*F7*G7+H7)*I7</f>
        <v>#REF!</v>
      </c>
      <c r="K7" s="26" t="s">
        <v>17</v>
      </c>
    </row>
    <row r="8" spans="1:12" ht="27" customHeight="1" x14ac:dyDescent="0.15">
      <c r="A8" s="23">
        <v>3</v>
      </c>
      <c r="B8" s="27"/>
      <c r="C8" s="27" t="s">
        <v>19</v>
      </c>
      <c r="D8" s="23" t="s">
        <v>16</v>
      </c>
      <c r="E8" s="24" t="e">
        <f>VLOOKUP(D8,#REF!,2,FALSE)</f>
        <v>#REF!</v>
      </c>
      <c r="F8" s="24" t="e">
        <f>VLOOKUP(C8,#REF!,2,FALSE)</f>
        <v>#REF!</v>
      </c>
      <c r="G8" s="25">
        <v>10</v>
      </c>
      <c r="H8" s="26">
        <v>300</v>
      </c>
      <c r="I8" s="30">
        <v>5</v>
      </c>
      <c r="J8" s="26" t="e">
        <f t="shared" si="0"/>
        <v>#REF!</v>
      </c>
      <c r="K8" s="26" t="s">
        <v>17</v>
      </c>
    </row>
    <row r="9" spans="1:12" ht="27" customHeight="1" x14ac:dyDescent="0.15">
      <c r="A9" s="23">
        <v>4</v>
      </c>
      <c r="B9" s="27"/>
      <c r="C9" s="27" t="s">
        <v>20</v>
      </c>
      <c r="D9" s="23" t="s">
        <v>16</v>
      </c>
      <c r="E9" s="24" t="e">
        <f>VLOOKUP(D9,#REF!,2,FALSE)</f>
        <v>#REF!</v>
      </c>
      <c r="F9" s="24" t="e">
        <f>VLOOKUP(C9,#REF!,2,FALSE)</f>
        <v>#REF!</v>
      </c>
      <c r="G9" s="25">
        <v>10</v>
      </c>
      <c r="H9" s="26">
        <v>300</v>
      </c>
      <c r="I9" s="30">
        <v>5</v>
      </c>
      <c r="J9" s="26" t="e">
        <f t="shared" si="0"/>
        <v>#REF!</v>
      </c>
      <c r="K9" s="26" t="s">
        <v>17</v>
      </c>
    </row>
    <row r="10" spans="1:12" ht="27" customHeight="1" x14ac:dyDescent="0.15">
      <c r="A10" s="23">
        <v>5</v>
      </c>
      <c r="B10" s="27"/>
      <c r="C10" s="27" t="s">
        <v>21</v>
      </c>
      <c r="D10" s="23" t="s">
        <v>16</v>
      </c>
      <c r="E10" s="24" t="e">
        <f>VLOOKUP(D10,#REF!,2,FALSE)</f>
        <v>#REF!</v>
      </c>
      <c r="F10" s="24" t="e">
        <f>VLOOKUP(C10,#REF!,2,FALSE)</f>
        <v>#REF!</v>
      </c>
      <c r="G10" s="25">
        <v>10</v>
      </c>
      <c r="H10" s="26">
        <v>300</v>
      </c>
      <c r="I10" s="30">
        <v>5</v>
      </c>
      <c r="J10" s="26" t="e">
        <f t="shared" si="0"/>
        <v>#REF!</v>
      </c>
      <c r="K10" s="26" t="s">
        <v>22</v>
      </c>
    </row>
    <row r="11" spans="1:12" ht="27" customHeight="1" x14ac:dyDescent="0.15">
      <c r="A11" s="27"/>
      <c r="B11" s="27" t="s">
        <v>23</v>
      </c>
      <c r="C11" s="27"/>
      <c r="D11" s="28"/>
      <c r="E11" s="24"/>
      <c r="F11" s="24"/>
      <c r="G11" s="24"/>
      <c r="H11" s="26"/>
      <c r="I11" s="28"/>
      <c r="J11" s="26" t="e">
        <f>SUM(J6:J10)</f>
        <v>#REF!</v>
      </c>
      <c r="K11" s="31"/>
    </row>
    <row r="12" spans="1:12" s="15" customFormat="1" ht="19.149999999999999" customHeight="1" x14ac:dyDescent="0.15">
      <c r="A12" s="15" t="s">
        <v>24</v>
      </c>
    </row>
    <row r="13" spans="1:12" s="16" customFormat="1" ht="24" customHeight="1" x14ac:dyDescent="0.15">
      <c r="A13" s="39" t="s">
        <v>25</v>
      </c>
      <c r="B13" s="39"/>
      <c r="C13" s="39"/>
      <c r="D13" s="39"/>
      <c r="E13" s="39"/>
      <c r="F13" s="39"/>
      <c r="G13" s="39"/>
      <c r="H13" s="39"/>
      <c r="I13" s="39"/>
      <c r="J13" s="39"/>
      <c r="K13" s="10"/>
    </row>
    <row r="14" spans="1:12" s="16" customFormat="1" ht="21.75" customHeight="1" x14ac:dyDescent="0.15">
      <c r="A14" s="39" t="s">
        <v>26</v>
      </c>
      <c r="B14" s="39"/>
      <c r="C14" s="39"/>
      <c r="D14" s="39"/>
      <c r="E14" s="39"/>
      <c r="F14" s="39"/>
      <c r="G14" s="39"/>
      <c r="H14" s="39"/>
      <c r="I14" s="39"/>
      <c r="J14" s="39"/>
      <c r="K14" s="10"/>
    </row>
    <row r="15" spans="1:12" s="10" customFormat="1" ht="16.899999999999999" customHeight="1" x14ac:dyDescent="0.15">
      <c r="A15" s="39" t="s">
        <v>27</v>
      </c>
      <c r="B15" s="39"/>
      <c r="C15" s="39"/>
      <c r="D15" s="39"/>
      <c r="E15" s="39"/>
      <c r="F15" s="39"/>
      <c r="G15" s="39"/>
      <c r="H15" s="39"/>
      <c r="I15" s="39"/>
      <c r="J15" s="39"/>
    </row>
    <row r="16" spans="1:12" s="14" customFormat="1" ht="16.899999999999999" customHeight="1" x14ac:dyDescent="0.15">
      <c r="A16" s="40"/>
      <c r="B16" s="40"/>
      <c r="C16" s="40"/>
      <c r="D16" s="40"/>
      <c r="E16" s="40"/>
      <c r="F16" s="40"/>
    </row>
    <row r="17" spans="1:7" s="14" customFormat="1" x14ac:dyDescent="0.15"/>
    <row r="18" spans="1:7" s="17" customFormat="1" ht="27" customHeight="1" x14ac:dyDescent="0.15">
      <c r="A18" s="17" t="s">
        <v>28</v>
      </c>
      <c r="C18" s="17" t="s">
        <v>29</v>
      </c>
      <c r="G18" s="17" t="s">
        <v>30</v>
      </c>
    </row>
  </sheetData>
  <mergeCells count="5">
    <mergeCell ref="A2:K2"/>
    <mergeCell ref="A13:J13"/>
    <mergeCell ref="A14:J14"/>
    <mergeCell ref="A15:J15"/>
    <mergeCell ref="A16:F16"/>
  </mergeCells>
  <phoneticPr fontId="13" type="noConversion"/>
  <printOptions horizontalCentered="1"/>
  <pageMargins left="0.70866141732283505" right="0.70866141732283505" top="0.74803149606299202" bottom="0.74803149606299202" header="0.31496062992126" footer="0.31496062992126"/>
  <pageSetup paperSize="9" scale="99" fitToHeight="10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45"/>
  <sheetViews>
    <sheetView tabSelected="1" topLeftCell="A18" workbookViewId="0">
      <selection activeCell="Q15" sqref="Q15"/>
    </sheetView>
  </sheetViews>
  <sheetFormatPr defaultColWidth="9" defaultRowHeight="13.5" x14ac:dyDescent="0.15"/>
  <cols>
    <col min="1" max="1" width="4.75" style="5" customWidth="1"/>
    <col min="2" max="2" width="7.75" style="5" customWidth="1"/>
    <col min="3" max="3" width="4.75" style="5" customWidth="1"/>
    <col min="4" max="4" width="5.25" style="5" customWidth="1"/>
    <col min="5" max="5" width="5.5" style="5" customWidth="1"/>
    <col min="6" max="28" width="3.5" style="5" customWidth="1"/>
    <col min="29" max="29" width="3.75" style="5" customWidth="1"/>
    <col min="30" max="30" width="3.875" style="5" customWidth="1"/>
    <col min="31" max="31" width="3.75" style="5" customWidth="1"/>
    <col min="32" max="32" width="3.875" style="5" customWidth="1"/>
    <col min="33" max="33" width="3.625" style="5" customWidth="1"/>
    <col min="34" max="35" width="3.5" style="5" customWidth="1"/>
    <col min="36" max="36" width="3.875" style="5" customWidth="1"/>
    <col min="37" max="37" width="9.125" style="5" customWidth="1"/>
    <col min="38" max="16384" width="9" style="5"/>
  </cols>
  <sheetData>
    <row r="1" spans="1:37" s="1" customFormat="1" ht="24" customHeight="1" x14ac:dyDescent="0.15">
      <c r="A1" s="41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32"/>
    </row>
    <row r="2" spans="1:37" s="2" customFormat="1" ht="15.75" customHeight="1" x14ac:dyDescent="0.15">
      <c r="A2" s="43" t="s">
        <v>68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33"/>
    </row>
    <row r="3" spans="1:37" s="3" customFormat="1" ht="15.75" customHeight="1" x14ac:dyDescent="0.15">
      <c r="A3" s="47" t="s">
        <v>3</v>
      </c>
      <c r="B3" s="47" t="s">
        <v>4</v>
      </c>
      <c r="C3" s="47" t="s">
        <v>31</v>
      </c>
      <c r="D3" s="47" t="s">
        <v>32</v>
      </c>
      <c r="E3" s="6" t="s">
        <v>33</v>
      </c>
      <c r="F3" s="7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7">
        <v>16</v>
      </c>
      <c r="V3" s="7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7">
        <v>28</v>
      </c>
      <c r="AH3" s="7">
        <v>29</v>
      </c>
      <c r="AI3" s="7">
        <v>30</v>
      </c>
      <c r="AJ3" s="7">
        <v>31</v>
      </c>
      <c r="AK3" s="47" t="s">
        <v>34</v>
      </c>
    </row>
    <row r="4" spans="1:37" s="3" customFormat="1" ht="15.75" customHeight="1" x14ac:dyDescent="0.15">
      <c r="A4" s="47"/>
      <c r="B4" s="47"/>
      <c r="C4" s="47"/>
      <c r="D4" s="47"/>
      <c r="E4" s="6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36</v>
      </c>
      <c r="U4" s="7" t="s">
        <v>37</v>
      </c>
      <c r="V4" s="7" t="s">
        <v>38</v>
      </c>
      <c r="W4" s="7" t="s">
        <v>39</v>
      </c>
      <c r="X4" s="6" t="s">
        <v>40</v>
      </c>
      <c r="Y4" s="7" t="s">
        <v>41</v>
      </c>
      <c r="Z4" s="7" t="s">
        <v>42</v>
      </c>
      <c r="AA4" s="7" t="s">
        <v>36</v>
      </c>
      <c r="AB4" s="7" t="s">
        <v>37</v>
      </c>
      <c r="AC4" s="7" t="s">
        <v>38</v>
      </c>
      <c r="AD4" s="7" t="s">
        <v>39</v>
      </c>
      <c r="AE4" s="7" t="s">
        <v>40</v>
      </c>
      <c r="AF4" s="7" t="s">
        <v>41</v>
      </c>
      <c r="AG4" s="7" t="s">
        <v>42</v>
      </c>
      <c r="AH4" s="7" t="s">
        <v>36</v>
      </c>
      <c r="AI4" s="7" t="s">
        <v>37</v>
      </c>
      <c r="AJ4" s="7" t="s">
        <v>38</v>
      </c>
      <c r="AK4" s="47"/>
    </row>
    <row r="5" spans="1:37" s="4" customFormat="1" ht="15.75" customHeight="1" x14ac:dyDescent="0.15">
      <c r="A5" s="48">
        <v>1</v>
      </c>
      <c r="B5" s="48" t="s">
        <v>43</v>
      </c>
      <c r="C5" s="8">
        <v>11</v>
      </c>
      <c r="D5" s="9" t="s">
        <v>44</v>
      </c>
      <c r="E5" s="34"/>
      <c r="F5" s="35"/>
      <c r="G5" s="35"/>
      <c r="H5" s="35"/>
      <c r="I5" s="35"/>
      <c r="J5" s="35"/>
      <c r="K5" s="50"/>
      <c r="L5" s="50"/>
      <c r="M5" s="35"/>
      <c r="N5" s="50"/>
      <c r="O5" s="50"/>
      <c r="P5" s="50"/>
      <c r="Q5" s="50"/>
      <c r="R5" s="50"/>
      <c r="S5" s="50"/>
      <c r="T5" s="50"/>
      <c r="U5" s="50"/>
      <c r="V5" s="50"/>
      <c r="W5" s="35"/>
      <c r="X5" s="35"/>
      <c r="Y5" s="36"/>
      <c r="Z5" s="36"/>
      <c r="AA5" s="50"/>
      <c r="AB5" s="36"/>
      <c r="AC5" s="36"/>
      <c r="AD5" s="35"/>
      <c r="AE5" s="35"/>
      <c r="AF5" s="50"/>
      <c r="AG5" s="50"/>
      <c r="AH5" s="50"/>
      <c r="AI5" s="50"/>
      <c r="AJ5" s="50"/>
      <c r="AK5" s="48" t="s">
        <v>45</v>
      </c>
    </row>
    <row r="6" spans="1:37" s="4" customFormat="1" ht="15.75" customHeight="1" x14ac:dyDescent="0.15">
      <c r="A6" s="48"/>
      <c r="B6" s="48"/>
      <c r="C6" s="8">
        <v>7</v>
      </c>
      <c r="D6" s="9" t="s">
        <v>46</v>
      </c>
      <c r="E6" s="34"/>
      <c r="F6" s="50"/>
      <c r="G6" s="50"/>
      <c r="H6" s="50"/>
      <c r="I6" s="35"/>
      <c r="J6" s="35"/>
      <c r="K6" s="50"/>
      <c r="L6" s="50"/>
      <c r="M6" s="50"/>
      <c r="N6" s="50"/>
      <c r="O6" s="35"/>
      <c r="P6" s="50"/>
      <c r="Q6" s="35"/>
      <c r="R6" s="50"/>
      <c r="S6" s="50"/>
      <c r="T6" s="50"/>
      <c r="U6" s="35"/>
      <c r="V6" s="35"/>
      <c r="W6" s="50"/>
      <c r="X6" s="50"/>
      <c r="Y6" s="50"/>
      <c r="Z6" s="50"/>
      <c r="AA6" s="35"/>
      <c r="AB6" s="50"/>
      <c r="AC6" s="50"/>
      <c r="AD6" s="50"/>
      <c r="AE6" s="50"/>
      <c r="AF6" s="50"/>
      <c r="AG6" s="35"/>
      <c r="AH6" s="50"/>
      <c r="AI6" s="50"/>
      <c r="AJ6" s="36"/>
      <c r="AK6" s="48"/>
    </row>
    <row r="7" spans="1:37" s="4" customFormat="1" ht="15.75" customHeight="1" x14ac:dyDescent="0.15">
      <c r="A7" s="48">
        <v>2</v>
      </c>
      <c r="B7" s="48" t="s">
        <v>47</v>
      </c>
      <c r="C7" s="8">
        <v>18</v>
      </c>
      <c r="D7" s="9" t="s">
        <v>44</v>
      </c>
      <c r="E7" s="34"/>
      <c r="F7" s="35"/>
      <c r="G7" s="35"/>
      <c r="H7" s="35"/>
      <c r="I7" s="35"/>
      <c r="J7" s="35"/>
      <c r="K7" s="50"/>
      <c r="L7" s="50"/>
      <c r="M7" s="35"/>
      <c r="N7" s="50"/>
      <c r="O7" s="50"/>
      <c r="P7" s="50"/>
      <c r="Q7" s="35"/>
      <c r="R7" s="50"/>
      <c r="S7" s="50"/>
      <c r="T7" s="50"/>
      <c r="U7" s="50"/>
      <c r="V7" s="50"/>
      <c r="W7" s="35"/>
      <c r="X7" s="35"/>
      <c r="Y7" s="50"/>
      <c r="Z7" s="50"/>
      <c r="AA7" s="50"/>
      <c r="AB7" s="50"/>
      <c r="AC7" s="50"/>
      <c r="AD7" s="35"/>
      <c r="AE7" s="50"/>
      <c r="AF7" s="50"/>
      <c r="AG7" s="50"/>
      <c r="AH7" s="50"/>
      <c r="AI7" s="50"/>
      <c r="AJ7" s="50"/>
      <c r="AK7" s="9"/>
    </row>
    <row r="8" spans="1:37" s="4" customFormat="1" ht="15.75" customHeight="1" x14ac:dyDescent="0.15">
      <c r="A8" s="48"/>
      <c r="B8" s="48"/>
      <c r="C8" s="8">
        <v>0</v>
      </c>
      <c r="D8" s="9" t="s">
        <v>46</v>
      </c>
      <c r="E8" s="34"/>
      <c r="F8" s="50"/>
      <c r="G8" s="50"/>
      <c r="H8" s="50"/>
      <c r="I8" s="50"/>
      <c r="J8" s="35"/>
      <c r="K8" s="50"/>
      <c r="L8" s="50"/>
      <c r="M8" s="50"/>
      <c r="N8" s="50"/>
      <c r="O8" s="35"/>
      <c r="P8" s="35"/>
      <c r="Q8" s="50"/>
      <c r="R8" s="50"/>
      <c r="S8" s="50"/>
      <c r="T8" s="50"/>
      <c r="U8" s="35"/>
      <c r="V8" s="50"/>
      <c r="W8" s="50"/>
      <c r="X8" s="50"/>
      <c r="Y8" s="50"/>
      <c r="Z8" s="50"/>
      <c r="AA8" s="50"/>
      <c r="AB8" s="50"/>
      <c r="AC8" s="50"/>
      <c r="AD8" s="50"/>
      <c r="AE8" s="35"/>
      <c r="AF8" s="50"/>
      <c r="AG8" s="35"/>
      <c r="AH8" s="50"/>
      <c r="AI8" s="50"/>
      <c r="AJ8" s="36"/>
      <c r="AK8" s="9"/>
    </row>
    <row r="9" spans="1:37" s="4" customFormat="1" ht="15.75" customHeight="1" x14ac:dyDescent="0.15">
      <c r="A9" s="48">
        <v>3</v>
      </c>
      <c r="B9" s="48" t="s">
        <v>48</v>
      </c>
      <c r="C9" s="8">
        <v>2</v>
      </c>
      <c r="D9" s="9" t="s">
        <v>44</v>
      </c>
      <c r="E9" s="34"/>
      <c r="F9" s="35"/>
      <c r="G9" s="50"/>
      <c r="H9" s="50"/>
      <c r="I9" s="36"/>
      <c r="J9" s="36"/>
      <c r="K9" s="36"/>
      <c r="L9" s="36"/>
      <c r="M9" s="50"/>
      <c r="N9" s="36"/>
      <c r="O9" s="36"/>
      <c r="P9" s="36"/>
      <c r="Q9" s="50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50"/>
      <c r="AJ9" s="50"/>
      <c r="AK9" s="48" t="s">
        <v>45</v>
      </c>
    </row>
    <row r="10" spans="1:37" s="4" customFormat="1" ht="15.75" customHeight="1" x14ac:dyDescent="0.15">
      <c r="A10" s="48"/>
      <c r="B10" s="48"/>
      <c r="C10" s="8">
        <v>16</v>
      </c>
      <c r="D10" s="9" t="s">
        <v>46</v>
      </c>
      <c r="E10" s="34"/>
      <c r="F10" s="35"/>
      <c r="G10" s="35"/>
      <c r="H10" s="35"/>
      <c r="I10" s="35"/>
      <c r="J10" s="35"/>
      <c r="K10" s="50"/>
      <c r="L10" s="50"/>
      <c r="M10" s="35"/>
      <c r="N10" s="50"/>
      <c r="O10" s="50"/>
      <c r="P10" s="50"/>
      <c r="Q10" s="35"/>
      <c r="R10" s="50"/>
      <c r="S10" s="50"/>
      <c r="T10" s="50"/>
      <c r="U10" s="50"/>
      <c r="V10" s="50"/>
      <c r="W10" s="35"/>
      <c r="X10" s="35"/>
      <c r="Y10" s="50"/>
      <c r="Z10" s="50"/>
      <c r="AA10" s="50"/>
      <c r="AB10" s="50"/>
      <c r="AC10" s="50"/>
      <c r="AD10" s="35"/>
      <c r="AE10" s="35"/>
      <c r="AF10" s="50"/>
      <c r="AG10" s="50"/>
      <c r="AH10" s="50"/>
      <c r="AI10" s="36"/>
      <c r="AJ10" s="36"/>
      <c r="AK10" s="48"/>
    </row>
    <row r="11" spans="1:37" s="4" customFormat="1" ht="15.75" customHeight="1" x14ac:dyDescent="0.15">
      <c r="A11" s="48">
        <v>4</v>
      </c>
      <c r="B11" s="48" t="s">
        <v>49</v>
      </c>
      <c r="C11" s="8">
        <v>13</v>
      </c>
      <c r="D11" s="9" t="s">
        <v>44</v>
      </c>
      <c r="E11" s="34"/>
      <c r="F11" s="35"/>
      <c r="G11" s="35"/>
      <c r="H11" s="35"/>
      <c r="I11" s="50"/>
      <c r="J11" s="36"/>
      <c r="K11" s="36"/>
      <c r="L11" s="50"/>
      <c r="M11" s="35"/>
      <c r="N11" s="50"/>
      <c r="O11" s="50"/>
      <c r="P11" s="35"/>
      <c r="Q11" s="35"/>
      <c r="R11" s="50"/>
      <c r="S11" s="50"/>
      <c r="T11" s="50"/>
      <c r="U11" s="50"/>
      <c r="V11" s="50"/>
      <c r="W11" s="50"/>
      <c r="X11" s="36"/>
      <c r="Y11" s="50"/>
      <c r="Z11" s="50"/>
      <c r="AA11" s="35"/>
      <c r="AB11" s="35"/>
      <c r="AC11" s="35"/>
      <c r="AD11" s="35"/>
      <c r="AE11" s="35"/>
      <c r="AF11" s="50"/>
      <c r="AG11" s="50"/>
      <c r="AH11" s="50"/>
      <c r="AI11" s="50"/>
      <c r="AJ11" s="50"/>
      <c r="AK11" s="48"/>
    </row>
    <row r="12" spans="1:37" s="4" customFormat="1" ht="15.75" customHeight="1" x14ac:dyDescent="0.15">
      <c r="A12" s="48"/>
      <c r="B12" s="48"/>
      <c r="C12" s="8">
        <v>5</v>
      </c>
      <c r="D12" s="9" t="s">
        <v>46</v>
      </c>
      <c r="E12" s="34"/>
      <c r="F12" s="50"/>
      <c r="G12" s="50"/>
      <c r="H12" s="35"/>
      <c r="I12" s="35"/>
      <c r="J12" s="35"/>
      <c r="K12" s="36"/>
      <c r="L12" s="50"/>
      <c r="M12" s="50"/>
      <c r="N12" s="35"/>
      <c r="O12" s="50"/>
      <c r="P12" s="50"/>
      <c r="Q12" s="50"/>
      <c r="R12" s="50"/>
      <c r="S12" s="50"/>
      <c r="T12" s="50"/>
      <c r="U12" s="50"/>
      <c r="V12" s="35"/>
      <c r="W12" s="35"/>
      <c r="X12" s="35"/>
      <c r="Y12" s="50"/>
      <c r="Z12" s="50"/>
      <c r="AA12" s="50"/>
      <c r="AB12" s="50"/>
      <c r="AC12" s="50"/>
      <c r="AD12" s="50"/>
      <c r="AE12" s="50"/>
      <c r="AF12" s="50"/>
      <c r="AG12" s="35"/>
      <c r="AH12" s="35"/>
      <c r="AI12" s="50"/>
      <c r="AJ12" s="36"/>
      <c r="AK12" s="48"/>
    </row>
    <row r="13" spans="1:37" s="4" customFormat="1" ht="15.75" customHeight="1" x14ac:dyDescent="0.15">
      <c r="A13" s="48">
        <v>5</v>
      </c>
      <c r="B13" s="48" t="s">
        <v>50</v>
      </c>
      <c r="C13" s="8">
        <v>18</v>
      </c>
      <c r="D13" s="9" t="s">
        <v>44</v>
      </c>
      <c r="E13" s="34"/>
      <c r="F13" s="35"/>
      <c r="G13" s="35"/>
      <c r="H13" s="35"/>
      <c r="I13" s="35"/>
      <c r="J13" s="35"/>
      <c r="K13" s="36"/>
      <c r="L13" s="50"/>
      <c r="M13" s="35"/>
      <c r="N13" s="50"/>
      <c r="O13" s="50"/>
      <c r="P13" s="50"/>
      <c r="Q13" s="35"/>
      <c r="R13" s="50"/>
      <c r="S13" s="50"/>
      <c r="T13" s="50"/>
      <c r="U13" s="50"/>
      <c r="V13" s="50"/>
      <c r="W13" s="35"/>
      <c r="X13" s="35"/>
      <c r="Y13" s="50"/>
      <c r="Z13" s="50"/>
      <c r="AA13" s="50"/>
      <c r="AB13" s="50"/>
      <c r="AC13" s="50"/>
      <c r="AD13" s="35"/>
      <c r="AE13" s="35"/>
      <c r="AF13" s="50"/>
      <c r="AG13" s="50"/>
      <c r="AH13" s="50"/>
      <c r="AI13" s="50"/>
      <c r="AJ13" s="50"/>
      <c r="AK13" s="9"/>
    </row>
    <row r="14" spans="1:37" s="4" customFormat="1" ht="15.75" customHeight="1" x14ac:dyDescent="0.15">
      <c r="A14" s="48"/>
      <c r="B14" s="48"/>
      <c r="C14" s="8">
        <v>0</v>
      </c>
      <c r="D14" s="9" t="s">
        <v>46</v>
      </c>
      <c r="E14" s="34"/>
      <c r="F14" s="36"/>
      <c r="G14" s="36"/>
      <c r="H14" s="36"/>
      <c r="I14" s="36"/>
      <c r="J14" s="36"/>
      <c r="K14" s="36"/>
      <c r="L14" s="36"/>
      <c r="M14" s="35"/>
      <c r="N14" s="36"/>
      <c r="O14" s="35"/>
      <c r="P14" s="36"/>
      <c r="Q14" s="36"/>
      <c r="R14" s="36"/>
      <c r="S14" s="36"/>
      <c r="T14" s="36"/>
      <c r="U14" s="35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5"/>
      <c r="AH14" s="36"/>
      <c r="AI14" s="36"/>
      <c r="AJ14" s="36"/>
      <c r="AK14" s="9"/>
    </row>
    <row r="15" spans="1:37" s="4" customFormat="1" ht="15.75" customHeight="1" x14ac:dyDescent="0.15">
      <c r="A15" s="48">
        <v>6</v>
      </c>
      <c r="B15" s="48" t="s">
        <v>51</v>
      </c>
      <c r="C15" s="8">
        <v>18</v>
      </c>
      <c r="D15" s="9" t="s">
        <v>44</v>
      </c>
      <c r="E15" s="34"/>
      <c r="F15" s="35"/>
      <c r="G15" s="35"/>
      <c r="H15" s="35"/>
      <c r="I15" s="35"/>
      <c r="J15" s="35"/>
      <c r="K15" s="50"/>
      <c r="L15" s="50"/>
      <c r="M15" s="35"/>
      <c r="N15" s="50"/>
      <c r="O15" s="50"/>
      <c r="P15" s="50"/>
      <c r="Q15" s="35"/>
      <c r="R15" s="50"/>
      <c r="S15" s="50"/>
      <c r="T15" s="50"/>
      <c r="U15" s="50"/>
      <c r="V15" s="50"/>
      <c r="W15" s="35"/>
      <c r="X15" s="35"/>
      <c r="Y15" s="50"/>
      <c r="Z15" s="50"/>
      <c r="AA15" s="50"/>
      <c r="AB15" s="50"/>
      <c r="AC15" s="50"/>
      <c r="AD15" s="35"/>
      <c r="AE15" s="35"/>
      <c r="AF15" s="50"/>
      <c r="AG15" s="50"/>
      <c r="AH15" s="50"/>
      <c r="AI15" s="50"/>
      <c r="AJ15" s="50"/>
      <c r="AK15" s="48"/>
    </row>
    <row r="16" spans="1:37" s="4" customFormat="1" ht="15.75" customHeight="1" x14ac:dyDescent="0.15">
      <c r="A16" s="48"/>
      <c r="B16" s="48"/>
      <c r="C16" s="8">
        <v>0</v>
      </c>
      <c r="D16" s="9" t="s">
        <v>46</v>
      </c>
      <c r="E16" s="34"/>
      <c r="F16" s="36"/>
      <c r="G16" s="36"/>
      <c r="H16" s="36"/>
      <c r="I16" s="36"/>
      <c r="J16" s="50"/>
      <c r="K16" s="36"/>
      <c r="L16" s="36"/>
      <c r="M16" s="36"/>
      <c r="N16" s="35"/>
      <c r="O16" s="35"/>
      <c r="P16" s="36"/>
      <c r="Q16" s="36"/>
      <c r="R16" s="36"/>
      <c r="S16" s="36"/>
      <c r="T16" s="36"/>
      <c r="U16" s="36"/>
      <c r="V16" s="36"/>
      <c r="W16" s="50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50"/>
      <c r="AJ16" s="36"/>
      <c r="AK16" s="48"/>
    </row>
    <row r="17" spans="1:37" s="4" customFormat="1" ht="15.75" customHeight="1" x14ac:dyDescent="0.15">
      <c r="A17" s="48">
        <v>7</v>
      </c>
      <c r="B17" s="49" t="s">
        <v>52</v>
      </c>
      <c r="C17" s="8">
        <v>11</v>
      </c>
      <c r="D17" s="9" t="s">
        <v>44</v>
      </c>
      <c r="E17" s="34"/>
      <c r="F17" s="35"/>
      <c r="G17" s="35"/>
      <c r="H17" s="35"/>
      <c r="I17" s="35"/>
      <c r="J17" s="35"/>
      <c r="K17" s="50"/>
      <c r="L17" s="50"/>
      <c r="M17" s="35"/>
      <c r="N17" s="50"/>
      <c r="O17" s="50"/>
      <c r="P17" s="50"/>
      <c r="Q17" s="35"/>
      <c r="R17" s="50"/>
      <c r="S17" s="50"/>
      <c r="T17" s="50"/>
      <c r="U17" s="50"/>
      <c r="V17" s="50"/>
      <c r="W17" s="35"/>
      <c r="X17" s="35"/>
      <c r="Y17" s="50"/>
      <c r="Z17" s="50"/>
      <c r="AA17" s="50"/>
      <c r="AB17" s="50"/>
      <c r="AC17" s="50"/>
      <c r="AD17" s="35"/>
      <c r="AE17" s="35"/>
      <c r="AF17" s="50"/>
      <c r="AG17" s="50"/>
      <c r="AH17" s="36"/>
      <c r="AI17" s="50"/>
      <c r="AJ17" s="50"/>
      <c r="AK17" s="48" t="s">
        <v>45</v>
      </c>
    </row>
    <row r="18" spans="1:37" s="4" customFormat="1" ht="15.75" customHeight="1" x14ac:dyDescent="0.15">
      <c r="A18" s="48"/>
      <c r="B18" s="48"/>
      <c r="C18" s="8">
        <v>7</v>
      </c>
      <c r="D18" s="9" t="s">
        <v>46</v>
      </c>
      <c r="E18" s="34"/>
      <c r="F18" s="50"/>
      <c r="G18" s="50"/>
      <c r="H18" s="35"/>
      <c r="I18" s="50"/>
      <c r="J18" s="50"/>
      <c r="K18" s="50"/>
      <c r="L18" s="50"/>
      <c r="M18" s="50"/>
      <c r="N18" s="35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48"/>
    </row>
    <row r="19" spans="1:37" s="4" customFormat="1" ht="15.75" customHeight="1" x14ac:dyDescent="0.15">
      <c r="A19" s="48">
        <v>8</v>
      </c>
      <c r="B19" s="48" t="s">
        <v>53</v>
      </c>
      <c r="C19" s="8">
        <v>8</v>
      </c>
      <c r="D19" s="9" t="s">
        <v>44</v>
      </c>
      <c r="E19" s="34"/>
      <c r="F19" s="35"/>
      <c r="G19" s="35"/>
      <c r="H19" s="35"/>
      <c r="I19" s="35"/>
      <c r="J19" s="35"/>
      <c r="K19" s="50"/>
      <c r="L19" s="50"/>
      <c r="M19" s="35"/>
      <c r="N19" s="50"/>
      <c r="O19" s="50"/>
      <c r="P19" s="50"/>
      <c r="Q19" s="50"/>
      <c r="R19" s="50"/>
      <c r="S19" s="50"/>
      <c r="T19" s="35"/>
      <c r="U19" s="35"/>
      <c r="V19" s="50"/>
      <c r="W19" s="35"/>
      <c r="X19" s="35"/>
      <c r="Y19" s="50"/>
      <c r="Z19" s="50"/>
      <c r="AA19" s="35"/>
      <c r="AB19" s="50"/>
      <c r="AC19" s="50"/>
      <c r="AD19" s="35"/>
      <c r="AE19" s="35"/>
      <c r="AF19" s="50"/>
      <c r="AG19" s="50"/>
      <c r="AH19" s="36"/>
      <c r="AI19" s="50"/>
      <c r="AJ19" s="50"/>
      <c r="AK19" s="48" t="s">
        <v>45</v>
      </c>
    </row>
    <row r="20" spans="1:37" s="4" customFormat="1" ht="15.75" customHeight="1" x14ac:dyDescent="0.15">
      <c r="A20" s="48"/>
      <c r="B20" s="48"/>
      <c r="C20" s="8">
        <v>10</v>
      </c>
      <c r="D20" s="9" t="s">
        <v>46</v>
      </c>
      <c r="E20" s="34"/>
      <c r="F20" s="36"/>
      <c r="G20" s="36"/>
      <c r="H20" s="36"/>
      <c r="I20" s="36"/>
      <c r="J20" s="36"/>
      <c r="K20" s="36"/>
      <c r="L20" s="36"/>
      <c r="M20" s="36"/>
      <c r="N20" s="50"/>
      <c r="O20" s="50"/>
      <c r="P20" s="50"/>
      <c r="Q20" s="36"/>
      <c r="R20" s="36"/>
      <c r="S20" s="50"/>
      <c r="T20" s="50"/>
      <c r="U20" s="50"/>
      <c r="V20" s="36"/>
      <c r="W20" s="36"/>
      <c r="X20" s="36"/>
      <c r="Y20" s="36"/>
      <c r="Z20" s="50"/>
      <c r="AA20" s="50"/>
      <c r="AB20" s="36"/>
      <c r="AC20" s="36"/>
      <c r="AD20" s="36"/>
      <c r="AE20" s="36"/>
      <c r="AF20" s="36"/>
      <c r="AG20" s="50"/>
      <c r="AH20" s="50"/>
      <c r="AI20" s="50"/>
      <c r="AJ20" s="36"/>
      <c r="AK20" s="48"/>
    </row>
    <row r="21" spans="1:37" s="4" customFormat="1" ht="15.75" customHeight="1" x14ac:dyDescent="0.15">
      <c r="A21" s="48">
        <v>9</v>
      </c>
      <c r="B21" s="48" t="s">
        <v>54</v>
      </c>
      <c r="C21" s="8">
        <v>0</v>
      </c>
      <c r="D21" s="9" t="s">
        <v>44</v>
      </c>
      <c r="E21" s="34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48" t="s">
        <v>45</v>
      </c>
    </row>
    <row r="22" spans="1:37" s="4" customFormat="1" ht="15.75" customHeight="1" x14ac:dyDescent="0.15">
      <c r="A22" s="48"/>
      <c r="B22" s="48"/>
      <c r="C22" s="8">
        <v>18</v>
      </c>
      <c r="D22" s="9" t="s">
        <v>46</v>
      </c>
      <c r="E22" s="34"/>
      <c r="F22" s="35"/>
      <c r="G22" s="35"/>
      <c r="H22" s="35"/>
      <c r="I22" s="35"/>
      <c r="J22" s="35"/>
      <c r="K22" s="50"/>
      <c r="L22" s="50"/>
      <c r="M22" s="35"/>
      <c r="N22" s="50"/>
      <c r="O22" s="50"/>
      <c r="P22" s="50"/>
      <c r="Q22" s="35"/>
      <c r="R22" s="50"/>
      <c r="S22" s="50"/>
      <c r="T22" s="50"/>
      <c r="U22" s="50"/>
      <c r="V22" s="50"/>
      <c r="W22" s="35"/>
      <c r="X22" s="35"/>
      <c r="Y22" s="50"/>
      <c r="Z22" s="50"/>
      <c r="AA22" s="50"/>
      <c r="AB22" s="50"/>
      <c r="AC22" s="50"/>
      <c r="AD22" s="35"/>
      <c r="AE22" s="35"/>
      <c r="AF22" s="50"/>
      <c r="AG22" s="50"/>
      <c r="AH22" s="50"/>
      <c r="AI22" s="50"/>
      <c r="AJ22" s="50"/>
      <c r="AK22" s="48"/>
    </row>
    <row r="23" spans="1:37" s="4" customFormat="1" ht="15.75" customHeight="1" x14ac:dyDescent="0.15">
      <c r="A23" s="48">
        <v>10</v>
      </c>
      <c r="B23" s="48" t="s">
        <v>55</v>
      </c>
      <c r="C23" s="8">
        <v>0</v>
      </c>
      <c r="D23" s="9" t="s">
        <v>44</v>
      </c>
      <c r="E23" s="34"/>
      <c r="F23" s="35"/>
      <c r="G23" s="35"/>
      <c r="H23" s="35"/>
      <c r="I23" s="35"/>
      <c r="J23" s="35"/>
      <c r="K23" s="50"/>
      <c r="L23" s="50"/>
      <c r="M23" s="35"/>
      <c r="N23" s="35"/>
      <c r="O23" s="50"/>
      <c r="P23" s="35"/>
      <c r="Q23" s="35"/>
      <c r="R23" s="50"/>
      <c r="S23" s="50"/>
      <c r="T23" s="35"/>
      <c r="U23" s="50"/>
      <c r="V23" s="50"/>
      <c r="W23" s="35"/>
      <c r="X23" s="35"/>
      <c r="Y23" s="36"/>
      <c r="Z23" s="50"/>
      <c r="AA23" s="35"/>
      <c r="AB23" s="35"/>
      <c r="AC23" s="35"/>
      <c r="AD23" s="35"/>
      <c r="AE23" s="35"/>
      <c r="AF23" s="50"/>
      <c r="AG23" s="35"/>
      <c r="AH23" s="35"/>
      <c r="AI23" s="35"/>
      <c r="AJ23" s="36"/>
      <c r="AK23" s="9"/>
    </row>
    <row r="24" spans="1:37" s="4" customFormat="1" ht="15.75" customHeight="1" x14ac:dyDescent="0.15">
      <c r="A24" s="48"/>
      <c r="B24" s="48"/>
      <c r="C24" s="8">
        <v>18</v>
      </c>
      <c r="D24" s="9" t="s">
        <v>46</v>
      </c>
      <c r="E24" s="34"/>
      <c r="F24" s="36"/>
      <c r="G24" s="36"/>
      <c r="H24" s="36"/>
      <c r="I24" s="36"/>
      <c r="J24" s="36"/>
      <c r="K24" s="36"/>
      <c r="L24" s="36"/>
      <c r="M24" s="36"/>
      <c r="N24" s="50"/>
      <c r="O24" s="50"/>
      <c r="P24" s="50"/>
      <c r="Q24" s="36"/>
      <c r="R24" s="50"/>
      <c r="S24" s="50"/>
      <c r="T24" s="50"/>
      <c r="U24" s="50"/>
      <c r="V24" s="50"/>
      <c r="W24" s="36"/>
      <c r="X24" s="36"/>
      <c r="Y24" s="50"/>
      <c r="Z24" s="50"/>
      <c r="AA24" s="50"/>
      <c r="AB24" s="50"/>
      <c r="AC24" s="50"/>
      <c r="AD24" s="36"/>
      <c r="AE24" s="36"/>
      <c r="AF24" s="50"/>
      <c r="AG24" s="50"/>
      <c r="AH24" s="50"/>
      <c r="AI24" s="50"/>
      <c r="AJ24" s="50"/>
      <c r="AK24" s="9"/>
    </row>
    <row r="25" spans="1:37" s="4" customFormat="1" ht="15.75" customHeight="1" x14ac:dyDescent="0.15">
      <c r="A25" s="48">
        <v>11</v>
      </c>
      <c r="B25" s="48" t="s">
        <v>56</v>
      </c>
      <c r="C25" s="8">
        <v>14</v>
      </c>
      <c r="D25" s="9" t="s">
        <v>44</v>
      </c>
      <c r="E25" s="34"/>
      <c r="F25" s="35"/>
      <c r="G25" s="35"/>
      <c r="H25" s="50"/>
      <c r="I25" s="50"/>
      <c r="J25" s="50"/>
      <c r="K25" s="50"/>
      <c r="L25" s="50"/>
      <c r="M25" s="35"/>
      <c r="N25" s="50"/>
      <c r="O25" s="50"/>
      <c r="P25" s="50"/>
      <c r="Q25" s="35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35"/>
      <c r="AF25" s="50"/>
      <c r="AG25" s="50"/>
      <c r="AH25" s="50"/>
      <c r="AI25" s="50"/>
      <c r="AJ25" s="50"/>
      <c r="AK25" s="9"/>
    </row>
    <row r="26" spans="1:37" s="4" customFormat="1" ht="15.75" customHeight="1" x14ac:dyDescent="0.15">
      <c r="A26" s="48"/>
      <c r="B26" s="48"/>
      <c r="C26" s="8">
        <v>4</v>
      </c>
      <c r="D26" s="9" t="s">
        <v>46</v>
      </c>
      <c r="E26" s="34"/>
      <c r="F26" s="36"/>
      <c r="G26" s="36"/>
      <c r="H26" s="36"/>
      <c r="I26" s="36"/>
      <c r="J26" s="36"/>
      <c r="K26" s="36"/>
      <c r="L26" s="36"/>
      <c r="M26" s="36"/>
      <c r="N26" s="36"/>
      <c r="O26" s="35"/>
      <c r="P26" s="36"/>
      <c r="Q26" s="35"/>
      <c r="R26" s="36"/>
      <c r="S26" s="36"/>
      <c r="T26" s="36"/>
      <c r="U26" s="50"/>
      <c r="V26" s="50"/>
      <c r="W26" s="35"/>
      <c r="X26" s="35"/>
      <c r="Y26" s="36"/>
      <c r="Z26" s="50"/>
      <c r="AA26" s="36"/>
      <c r="AB26" s="35"/>
      <c r="AC26" s="50"/>
      <c r="AD26" s="35"/>
      <c r="AE26" s="50"/>
      <c r="AF26" s="50"/>
      <c r="AG26" s="36"/>
      <c r="AH26" s="36"/>
      <c r="AI26" s="36"/>
      <c r="AJ26" s="36"/>
      <c r="AK26" s="9"/>
    </row>
    <row r="27" spans="1:37" s="4" customFormat="1" ht="15.75" customHeight="1" x14ac:dyDescent="0.15">
      <c r="A27" s="48">
        <v>12</v>
      </c>
      <c r="B27" s="48" t="s">
        <v>57</v>
      </c>
      <c r="C27" s="8">
        <v>18</v>
      </c>
      <c r="D27" s="9" t="s">
        <v>44</v>
      </c>
      <c r="E27" s="34"/>
      <c r="F27" s="35"/>
      <c r="G27" s="35"/>
      <c r="H27" s="35"/>
      <c r="I27" s="35"/>
      <c r="J27" s="35"/>
      <c r="K27" s="50"/>
      <c r="L27" s="50"/>
      <c r="M27" s="35"/>
      <c r="N27" s="50"/>
      <c r="O27" s="50"/>
      <c r="P27" s="50"/>
      <c r="Q27" s="35"/>
      <c r="R27" s="50"/>
      <c r="S27" s="50"/>
      <c r="T27" s="50"/>
      <c r="U27" s="50"/>
      <c r="V27" s="50"/>
      <c r="W27" s="35"/>
      <c r="X27" s="35"/>
      <c r="Y27" s="50"/>
      <c r="Z27" s="50"/>
      <c r="AA27" s="50"/>
      <c r="AB27" s="50"/>
      <c r="AC27" s="50"/>
      <c r="AD27" s="35"/>
      <c r="AE27" s="35"/>
      <c r="AF27" s="50"/>
      <c r="AG27" s="50"/>
      <c r="AH27" s="50"/>
      <c r="AI27" s="50"/>
      <c r="AJ27" s="50"/>
      <c r="AK27" s="9"/>
    </row>
    <row r="28" spans="1:37" s="4" customFormat="1" ht="15.75" customHeight="1" x14ac:dyDescent="0.15">
      <c r="A28" s="48"/>
      <c r="B28" s="48"/>
      <c r="C28" s="8">
        <v>0</v>
      </c>
      <c r="D28" s="9" t="s">
        <v>46</v>
      </c>
      <c r="E28" s="34"/>
      <c r="F28" s="36"/>
      <c r="G28" s="36"/>
      <c r="H28" s="36"/>
      <c r="I28" s="36"/>
      <c r="J28" s="36"/>
      <c r="K28" s="36"/>
      <c r="L28" s="36"/>
      <c r="M28" s="36"/>
      <c r="N28" s="36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9"/>
    </row>
    <row r="29" spans="1:37" s="4" customFormat="1" ht="15.75" customHeight="1" x14ac:dyDescent="0.15">
      <c r="A29" s="48">
        <v>13</v>
      </c>
      <c r="B29" s="48" t="s">
        <v>58</v>
      </c>
      <c r="C29" s="8">
        <v>0</v>
      </c>
      <c r="D29" s="9" t="s">
        <v>44</v>
      </c>
      <c r="E29" s="34"/>
      <c r="F29" s="36"/>
      <c r="G29" s="36"/>
      <c r="H29" s="36"/>
      <c r="I29" s="36"/>
      <c r="J29" s="36"/>
      <c r="K29" s="36"/>
      <c r="L29" s="36"/>
      <c r="M29" s="36"/>
      <c r="N29" s="50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48" t="s">
        <v>45</v>
      </c>
    </row>
    <row r="30" spans="1:37" s="4" customFormat="1" ht="15.75" customHeight="1" x14ac:dyDescent="0.15">
      <c r="A30" s="48"/>
      <c r="B30" s="48"/>
      <c r="C30" s="8">
        <v>18</v>
      </c>
      <c r="D30" s="9" t="s">
        <v>46</v>
      </c>
      <c r="E30" s="34"/>
      <c r="F30" s="35"/>
      <c r="G30" s="35"/>
      <c r="H30" s="35"/>
      <c r="I30" s="35"/>
      <c r="J30" s="35"/>
      <c r="K30" s="50"/>
      <c r="L30" s="50"/>
      <c r="M30" s="35"/>
      <c r="N30" s="50"/>
      <c r="O30" s="50"/>
      <c r="P30" s="50"/>
      <c r="Q30" s="35"/>
      <c r="R30" s="50"/>
      <c r="S30" s="50"/>
      <c r="T30" s="50"/>
      <c r="U30" s="50"/>
      <c r="V30" s="50"/>
      <c r="W30" s="35"/>
      <c r="X30" s="35"/>
      <c r="Y30" s="50"/>
      <c r="Z30" s="50"/>
      <c r="AA30" s="50"/>
      <c r="AB30" s="50"/>
      <c r="AC30" s="50"/>
      <c r="AD30" s="35"/>
      <c r="AE30" s="35"/>
      <c r="AF30" s="50"/>
      <c r="AG30" s="50"/>
      <c r="AH30" s="50"/>
      <c r="AI30" s="50"/>
      <c r="AJ30" s="50"/>
      <c r="AK30" s="48"/>
    </row>
    <row r="31" spans="1:37" s="4" customFormat="1" ht="15.75" customHeight="1" x14ac:dyDescent="0.15">
      <c r="A31" s="48">
        <v>14</v>
      </c>
      <c r="B31" s="49" t="s">
        <v>59</v>
      </c>
      <c r="C31" s="8">
        <v>0</v>
      </c>
      <c r="D31" s="9" t="s">
        <v>44</v>
      </c>
      <c r="E31" s="34"/>
      <c r="F31" s="36"/>
      <c r="G31" s="36"/>
      <c r="H31" s="36"/>
      <c r="I31" s="36"/>
      <c r="J31" s="36"/>
      <c r="K31" s="36"/>
      <c r="L31" s="36"/>
      <c r="M31" s="36"/>
      <c r="N31" s="50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48" t="s">
        <v>45</v>
      </c>
    </row>
    <row r="32" spans="1:37" s="4" customFormat="1" ht="15.75" customHeight="1" x14ac:dyDescent="0.15">
      <c r="A32" s="48"/>
      <c r="B32" s="48"/>
      <c r="C32" s="8">
        <v>18</v>
      </c>
      <c r="D32" s="9" t="s">
        <v>46</v>
      </c>
      <c r="E32" s="34"/>
      <c r="F32" s="35"/>
      <c r="G32" s="35"/>
      <c r="H32" s="35"/>
      <c r="I32" s="35"/>
      <c r="J32" s="35"/>
      <c r="K32" s="50"/>
      <c r="L32" s="50"/>
      <c r="M32" s="35"/>
      <c r="N32" s="50"/>
      <c r="O32" s="50"/>
      <c r="P32" s="50"/>
      <c r="Q32" s="35"/>
      <c r="R32" s="50"/>
      <c r="S32" s="50"/>
      <c r="T32" s="50"/>
      <c r="U32" s="50"/>
      <c r="V32" s="50"/>
      <c r="W32" s="35"/>
      <c r="X32" s="35"/>
      <c r="Y32" s="50"/>
      <c r="Z32" s="50"/>
      <c r="AA32" s="50"/>
      <c r="AB32" s="50"/>
      <c r="AC32" s="50"/>
      <c r="AD32" s="35"/>
      <c r="AE32" s="35"/>
      <c r="AF32" s="50"/>
      <c r="AG32" s="50"/>
      <c r="AH32" s="50"/>
      <c r="AI32" s="50"/>
      <c r="AJ32" s="50"/>
      <c r="AK32" s="48"/>
    </row>
    <row r="33" spans="1:37" s="4" customFormat="1" ht="15.75" customHeight="1" x14ac:dyDescent="0.15">
      <c r="A33" s="48">
        <v>15</v>
      </c>
      <c r="B33" s="48" t="s">
        <v>60</v>
      </c>
      <c r="C33" s="8">
        <v>0</v>
      </c>
      <c r="D33" s="9" t="s">
        <v>44</v>
      </c>
      <c r="E33" s="34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48" t="s">
        <v>45</v>
      </c>
    </row>
    <row r="34" spans="1:37" s="4" customFormat="1" ht="15.75" customHeight="1" x14ac:dyDescent="0.15">
      <c r="A34" s="48"/>
      <c r="B34" s="48"/>
      <c r="C34" s="8">
        <v>18</v>
      </c>
      <c r="D34" s="9" t="s">
        <v>46</v>
      </c>
      <c r="E34" s="34"/>
      <c r="F34" s="35"/>
      <c r="G34" s="35"/>
      <c r="H34" s="35"/>
      <c r="I34" s="35"/>
      <c r="J34" s="35"/>
      <c r="K34" s="50"/>
      <c r="L34" s="50"/>
      <c r="M34" s="35"/>
      <c r="N34" s="50"/>
      <c r="O34" s="50"/>
      <c r="P34" s="50"/>
      <c r="Q34" s="35"/>
      <c r="R34" s="50"/>
      <c r="S34" s="50"/>
      <c r="T34" s="50"/>
      <c r="U34" s="50"/>
      <c r="V34" s="50"/>
      <c r="W34" s="35"/>
      <c r="X34" s="35"/>
      <c r="Y34" s="50"/>
      <c r="Z34" s="50"/>
      <c r="AA34" s="50"/>
      <c r="AB34" s="50"/>
      <c r="AC34" s="50"/>
      <c r="AD34" s="35"/>
      <c r="AE34" s="35"/>
      <c r="AF34" s="50"/>
      <c r="AG34" s="50"/>
      <c r="AH34" s="50"/>
      <c r="AI34" s="50"/>
      <c r="AJ34" s="50"/>
      <c r="AK34" s="48"/>
    </row>
    <row r="35" spans="1:37" s="4" customFormat="1" ht="15.75" customHeight="1" x14ac:dyDescent="0.15">
      <c r="A35" s="48">
        <v>16</v>
      </c>
      <c r="B35" s="48" t="s">
        <v>61</v>
      </c>
      <c r="C35" s="8">
        <v>18</v>
      </c>
      <c r="D35" s="9" t="s">
        <v>44</v>
      </c>
      <c r="E35" s="34"/>
      <c r="F35" s="35"/>
      <c r="G35" s="35"/>
      <c r="H35" s="35"/>
      <c r="I35" s="35"/>
      <c r="J35" s="35"/>
      <c r="K35" s="50"/>
      <c r="L35" s="50"/>
      <c r="M35" s="35"/>
      <c r="N35" s="50"/>
      <c r="O35" s="50"/>
      <c r="P35" s="50"/>
      <c r="Q35" s="35"/>
      <c r="R35" s="50"/>
      <c r="S35" s="50"/>
      <c r="T35" s="50"/>
      <c r="U35" s="50"/>
      <c r="V35" s="50"/>
      <c r="W35" s="35"/>
      <c r="X35" s="35"/>
      <c r="Y35" s="50"/>
      <c r="Z35" s="50"/>
      <c r="AA35" s="50"/>
      <c r="AB35" s="50"/>
      <c r="AC35" s="50"/>
      <c r="AD35" s="35"/>
      <c r="AE35" s="35"/>
      <c r="AF35" s="50"/>
      <c r="AG35" s="50"/>
      <c r="AH35" s="50"/>
      <c r="AI35" s="50"/>
      <c r="AJ35" s="50"/>
      <c r="AK35" s="9"/>
    </row>
    <row r="36" spans="1:37" s="4" customFormat="1" ht="15.75" customHeight="1" x14ac:dyDescent="0.15">
      <c r="A36" s="48"/>
      <c r="B36" s="48"/>
      <c r="C36" s="8">
        <v>0</v>
      </c>
      <c r="D36" s="9" t="s">
        <v>46</v>
      </c>
      <c r="E36" s="34"/>
      <c r="F36" s="36"/>
      <c r="G36" s="36"/>
      <c r="H36" s="36"/>
      <c r="I36" s="36"/>
      <c r="J36" s="36"/>
      <c r="K36" s="36"/>
      <c r="L36" s="36"/>
      <c r="M36" s="36"/>
      <c r="N36" s="36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9"/>
    </row>
    <row r="37" spans="1:37" s="4" customFormat="1" ht="15.75" customHeight="1" x14ac:dyDescent="0.15">
      <c r="A37" s="48">
        <v>17</v>
      </c>
      <c r="B37" s="48" t="s">
        <v>62</v>
      </c>
      <c r="C37" s="8">
        <v>0</v>
      </c>
      <c r="D37" s="9" t="s">
        <v>44</v>
      </c>
      <c r="E37" s="34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48" t="s">
        <v>45</v>
      </c>
    </row>
    <row r="38" spans="1:37" s="4" customFormat="1" ht="15.75" customHeight="1" x14ac:dyDescent="0.15">
      <c r="A38" s="48"/>
      <c r="B38" s="48"/>
      <c r="C38" s="8">
        <v>18</v>
      </c>
      <c r="D38" s="9" t="s">
        <v>46</v>
      </c>
      <c r="E38" s="34"/>
      <c r="F38" s="35"/>
      <c r="G38" s="35"/>
      <c r="H38" s="35"/>
      <c r="I38" s="35"/>
      <c r="J38" s="35"/>
      <c r="K38" s="50"/>
      <c r="L38" s="50"/>
      <c r="M38" s="35"/>
      <c r="N38" s="50"/>
      <c r="O38" s="50"/>
      <c r="P38" s="50"/>
      <c r="Q38" s="35"/>
      <c r="R38" s="50"/>
      <c r="S38" s="50"/>
      <c r="T38" s="50"/>
      <c r="U38" s="50"/>
      <c r="V38" s="50"/>
      <c r="W38" s="35"/>
      <c r="X38" s="35"/>
      <c r="Y38" s="50"/>
      <c r="Z38" s="50"/>
      <c r="AA38" s="50"/>
      <c r="AB38" s="50"/>
      <c r="AC38" s="50"/>
      <c r="AD38" s="35"/>
      <c r="AE38" s="35"/>
      <c r="AF38" s="50"/>
      <c r="AG38" s="50"/>
      <c r="AH38" s="50"/>
      <c r="AI38" s="50"/>
      <c r="AJ38" s="50"/>
      <c r="AK38" s="48"/>
    </row>
    <row r="39" spans="1:37" s="4" customFormat="1" ht="15.75" customHeight="1" x14ac:dyDescent="0.15">
      <c r="A39" s="48">
        <v>18</v>
      </c>
      <c r="B39" s="48" t="s">
        <v>63</v>
      </c>
      <c r="C39" s="8">
        <v>0</v>
      </c>
      <c r="D39" s="9" t="s">
        <v>44</v>
      </c>
      <c r="E39" s="34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36"/>
      <c r="AI39" s="50"/>
      <c r="AJ39" s="36"/>
      <c r="AK39" s="48" t="s">
        <v>45</v>
      </c>
    </row>
    <row r="40" spans="1:37" s="4" customFormat="1" ht="15.75" customHeight="1" x14ac:dyDescent="0.15">
      <c r="A40" s="48"/>
      <c r="B40" s="48"/>
      <c r="C40" s="8">
        <v>18</v>
      </c>
      <c r="D40" s="9" t="s">
        <v>46</v>
      </c>
      <c r="E40" s="34"/>
      <c r="F40" s="35"/>
      <c r="G40" s="35"/>
      <c r="H40" s="35"/>
      <c r="I40" s="35"/>
      <c r="J40" s="35"/>
      <c r="K40" s="50"/>
      <c r="L40" s="50"/>
      <c r="M40" s="35"/>
      <c r="N40" s="50"/>
      <c r="O40" s="50"/>
      <c r="P40" s="50"/>
      <c r="Q40" s="35"/>
      <c r="R40" s="50"/>
      <c r="S40" s="50"/>
      <c r="T40" s="50"/>
      <c r="U40" s="50"/>
      <c r="V40" s="50"/>
      <c r="W40" s="35"/>
      <c r="X40" s="35"/>
      <c r="Y40" s="50"/>
      <c r="Z40" s="50"/>
      <c r="AA40" s="50"/>
      <c r="AB40" s="50"/>
      <c r="AC40" s="50"/>
      <c r="AD40" s="35"/>
      <c r="AE40" s="35"/>
      <c r="AF40" s="50"/>
      <c r="AG40" s="50"/>
      <c r="AH40" s="50"/>
      <c r="AI40" s="50"/>
      <c r="AJ40" s="50"/>
      <c r="AK40" s="48"/>
    </row>
    <row r="41" spans="1:37" s="4" customFormat="1" ht="15.75" customHeight="1" x14ac:dyDescent="0.15">
      <c r="A41" s="48">
        <v>19</v>
      </c>
      <c r="B41" s="48" t="s">
        <v>64</v>
      </c>
      <c r="C41" s="8">
        <v>16</v>
      </c>
      <c r="D41" s="9" t="s">
        <v>44</v>
      </c>
      <c r="E41" s="37"/>
      <c r="F41" s="35"/>
      <c r="G41" s="35"/>
      <c r="H41" s="35"/>
      <c r="I41" s="35"/>
      <c r="J41" s="35"/>
      <c r="K41" s="35"/>
      <c r="L41" s="35"/>
      <c r="M41" s="35"/>
      <c r="N41" s="50"/>
      <c r="O41" s="50"/>
      <c r="P41" s="50"/>
      <c r="Q41" s="35"/>
      <c r="R41" s="50"/>
      <c r="S41" s="50"/>
      <c r="T41" s="50"/>
      <c r="U41" s="50"/>
      <c r="V41" s="50"/>
      <c r="W41" s="35"/>
      <c r="X41" s="35"/>
      <c r="Y41" s="50"/>
      <c r="Z41" s="50"/>
      <c r="AA41" s="50"/>
      <c r="AB41" s="50"/>
      <c r="AC41" s="50"/>
      <c r="AD41" s="35"/>
      <c r="AE41" s="35"/>
      <c r="AF41" s="50"/>
      <c r="AG41" s="50"/>
      <c r="AH41" s="50"/>
      <c r="AI41" s="50"/>
      <c r="AJ41" s="50"/>
      <c r="AK41" s="48"/>
    </row>
    <row r="42" spans="1:37" s="4" customFormat="1" ht="15.75" customHeight="1" x14ac:dyDescent="0.15">
      <c r="A42" s="48"/>
      <c r="B42" s="48"/>
      <c r="C42" s="8">
        <v>0</v>
      </c>
      <c r="D42" s="9" t="s">
        <v>46</v>
      </c>
      <c r="E42" s="37"/>
      <c r="F42" s="50"/>
      <c r="G42" s="50"/>
      <c r="H42" s="50"/>
      <c r="I42" s="50"/>
      <c r="J42" s="50"/>
      <c r="K42" s="50"/>
      <c r="L42" s="50"/>
      <c r="M42" s="50"/>
      <c r="N42" s="50"/>
      <c r="O42" s="35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36"/>
      <c r="AI42" s="50"/>
      <c r="AJ42" s="35"/>
      <c r="AK42" s="48"/>
    </row>
    <row r="43" spans="1:37" s="4" customFormat="1" ht="15.75" customHeight="1" x14ac:dyDescent="0.15">
      <c r="A43" s="45" t="s">
        <v>65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 spans="1:37" s="4" customFormat="1" ht="15.75" customHeight="1" x14ac:dyDescent="0.15">
      <c r="A44" s="45" t="s">
        <v>66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 spans="1:37" x14ac:dyDescent="0.1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11"/>
    </row>
  </sheetData>
  <mergeCells count="61">
    <mergeCell ref="AK33:AK34"/>
    <mergeCell ref="AK37:AK38"/>
    <mergeCell ref="AK39:AK40"/>
    <mergeCell ref="AK41:AK42"/>
    <mergeCell ref="AK17:AK18"/>
    <mergeCell ref="AK19:AK20"/>
    <mergeCell ref="AK21:AK22"/>
    <mergeCell ref="AK29:AK30"/>
    <mergeCell ref="AK31:AK32"/>
    <mergeCell ref="AK3:AK4"/>
    <mergeCell ref="AK5:AK6"/>
    <mergeCell ref="AK9:AK10"/>
    <mergeCell ref="AK11:AK12"/>
    <mergeCell ref="AK15:AK16"/>
    <mergeCell ref="B37:B38"/>
    <mergeCell ref="B39:B40"/>
    <mergeCell ref="B41:B42"/>
    <mergeCell ref="C3:C4"/>
    <mergeCell ref="D3:D4"/>
    <mergeCell ref="B27:B28"/>
    <mergeCell ref="B29:B30"/>
    <mergeCell ref="B31:B32"/>
    <mergeCell ref="B33:B34"/>
    <mergeCell ref="B35:B36"/>
    <mergeCell ref="A35:A36"/>
    <mergeCell ref="A37:A38"/>
    <mergeCell ref="A39:A40"/>
    <mergeCell ref="A41:A4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A25:A26"/>
    <mergeCell ref="A27:A28"/>
    <mergeCell ref="A29:A30"/>
    <mergeCell ref="A31:A32"/>
    <mergeCell ref="A33:A34"/>
    <mergeCell ref="A1:AJ1"/>
    <mergeCell ref="A2:AJ2"/>
    <mergeCell ref="A43:AK43"/>
    <mergeCell ref="A44:AK44"/>
    <mergeCell ref="A45:AJ45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</mergeCells>
  <phoneticPr fontId="11" type="noConversion"/>
  <pageMargins left="0" right="0" top="0.60624999999999996" bottom="0.40902777777777799" header="0.5" footer="0.5"/>
  <pageSetup paperSize="9"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表1 行政教辅工勤岗绩效考核工资表（常驻人员）</vt:lpstr>
      <vt:lpstr>考勤表</vt:lpstr>
      <vt:lpstr>考勤表!Print_Titles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杨锦鹏</cp:lastModifiedBy>
  <cp:lastPrinted>2020-10-20T06:40:00Z</cp:lastPrinted>
  <dcterms:created xsi:type="dcterms:W3CDTF">2006-09-13T11:21:00Z</dcterms:created>
  <dcterms:modified xsi:type="dcterms:W3CDTF">2026-01-12T07:22:24Z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3FC34D45839649BCBAFB0BE67401E320_13</vt:lpwstr>
  </property>
</Properties>
</file>